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map" sheetId="1" state="visible" r:id="rId3"/>
    <sheet name="Plan y supuestos" sheetId="2" state="visible" r:id="rId4"/>
  </sheets>
  <definedNames>
    <definedName function="false" hidden="true" localSheetId="0" name="_xlnm._FilterDatabase" vbProcedure="false">'Keyword map'!$A$4:$K$52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<sst xmlns="http://schemas.openxmlformats.org/spreadsheetml/2006/main" count="353" uniqueCount="164">
  <si>
    <t xml:space="preserve">Keyword map Clinera.io · octubre 2026</t>
  </si>
  <si>
    <t xml:space="preserve">Volumen y dificultad vacíos: Semrush sin unidades de API (15-oct-2026). Llenar con Search Console o Semrush (celdas amarillas). Valor de negocio es estimación. Score = valor × volumen / dificultad. Estado 'Publicada' = página en producción desde #312-#314.</t>
  </si>
  <si>
    <t xml:space="preserve">Keyword</t>
  </si>
  <si>
    <t xml:space="preserve">Cluster</t>
  </si>
  <si>
    <t xml:space="preserve">Intención</t>
  </si>
  <si>
    <t xml:space="preserve">Volumen est./mes</t>
  </si>
  <si>
    <t xml:space="preserve">Dificultad (1-100)</t>
  </si>
  <si>
    <t xml:space="preserve">Valor negocio (1-10)</t>
  </si>
  <si>
    <t xml:space="preserve">Score</t>
  </si>
  <si>
    <t xml:space="preserve">Prioridad</t>
  </si>
  <si>
    <t xml:space="preserve">URL objetivo</t>
  </si>
  <si>
    <t xml:space="preserve">Estado</t>
  </si>
  <si>
    <t xml:space="preserve">Notas AEO / SEO</t>
  </si>
  <si>
    <t xml:space="preserve">programa para clínicas</t>
  </si>
  <si>
    <t xml:space="preserve">Genérico</t>
  </si>
  <si>
    <t xml:space="preserve">C</t>
  </si>
  <si>
    <t xml:space="preserve">TIER 2</t>
  </si>
  <si>
    <t xml:space="preserve">/software-para-clinicas</t>
  </si>
  <si>
    <t xml:space="preserve">Publicada</t>
  </si>
  <si>
    <t xml:space="preserve">Ambigua en Chile: SERP trae diplomados. Usar como variante junto a 'software'.</t>
  </si>
  <si>
    <t xml:space="preserve">software para clínicas</t>
  </si>
  <si>
    <t xml:space="preserve">Apertura 40-60 palabras con respuesta directa.</t>
  </si>
  <si>
    <t xml:space="preserve">sistema de gestión para clínicas</t>
  </si>
  <si>
    <t xml:space="preserve">H2 con definición + FAQ schema.</t>
  </si>
  <si>
    <t xml:space="preserve">software de gestión clínica</t>
  </si>
  <si>
    <t xml:space="preserve">programa para consultas médicas</t>
  </si>
  <si>
    <t xml:space="preserve">TIER 3</t>
  </si>
  <si>
    <t xml:space="preserve">/software-medico</t>
  </si>
  <si>
    <t xml:space="preserve">Existe</t>
  </si>
  <si>
    <t xml:space="preserve">Variante coloquial.</t>
  </si>
  <si>
    <t xml:space="preserve">mejor software para clínicas</t>
  </si>
  <si>
    <t xml:space="preserve">/mejor-software-clinicas</t>
  </si>
  <si>
    <t xml:space="preserve">Pilar con data tipada; actualizar trimestral.</t>
  </si>
  <si>
    <t xml:space="preserve">software de agendamiento para clínicas</t>
  </si>
  <si>
    <t xml:space="preserve">Agendamiento</t>
  </si>
  <si>
    <t xml:space="preserve">T</t>
  </si>
  <si>
    <t xml:space="preserve">TIER 1</t>
  </si>
  <si>
    <t xml:space="preserve">/agendamiento-whatsapp-ia</t>
  </si>
  <si>
    <t xml:space="preserve">Optimizar title/H1 con la keyword exacta.</t>
  </si>
  <si>
    <t xml:space="preserve">agenda online para clínicas</t>
  </si>
  <si>
    <t xml:space="preserve">agendamiento por WhatsApp para clínicas</t>
  </si>
  <si>
    <t xml:space="preserve">Diferenciador: IA conversacional (AURA).</t>
  </si>
  <si>
    <t xml:space="preserve">agendar citas automáticamente WhatsApp</t>
  </si>
  <si>
    <t xml:space="preserve">software para clínicas estéticas</t>
  </si>
  <si>
    <t xml:space="preserve">Estética</t>
  </si>
  <si>
    <t xml:space="preserve">/software-estetica</t>
  </si>
  <si>
    <t xml:space="preserve">AgendaPro domina en MX; entrar por IA en WhatsApp.</t>
  </si>
  <si>
    <t xml:space="preserve">programa para centros de estética</t>
  </si>
  <si>
    <t xml:space="preserve">Variante 'programa' + 'centros'.</t>
  </si>
  <si>
    <t xml:space="preserve">software para medicina estética</t>
  </si>
  <si>
    <t xml:space="preserve">ficha clínica estética</t>
  </si>
  <si>
    <t xml:space="preserve">I</t>
  </si>
  <si>
    <t xml:space="preserve">/blog/ficha-clinica-estetica-vs-medica</t>
  </si>
  <si>
    <t xml:space="preserve">software médico</t>
  </si>
  <si>
    <t xml:space="preserve">Médico y dental</t>
  </si>
  <si>
    <t xml:space="preserve">software dental</t>
  </si>
  <si>
    <t xml:space="preserve">/software-dental</t>
  </si>
  <si>
    <t xml:space="preserve">Alternativa a Dentalink/Dentalsoft en comparativas.</t>
  </si>
  <si>
    <t xml:space="preserve">odontograma digital</t>
  </si>
  <si>
    <t xml:space="preserve">/blog/odontograma-digital-presupuesto-diagnostico-evolucion</t>
  </si>
  <si>
    <t xml:space="preserve">Función próxima: mantener claro que es roadmap.</t>
  </si>
  <si>
    <t xml:space="preserve">ficha clínica electrónica Chile</t>
  </si>
  <si>
    <t xml:space="preserve">Ficha clínica</t>
  </si>
  <si>
    <t xml:space="preserve">/blog/ficha-clinica-electronica-chile</t>
  </si>
  <si>
    <t xml:space="preserve">Cluster fuerte; mantener.</t>
  </si>
  <si>
    <t xml:space="preserve">software ficha clínica electrónica</t>
  </si>
  <si>
    <t xml:space="preserve">/blog/software-ficha-clinica-electronica</t>
  </si>
  <si>
    <t xml:space="preserve">ficha clínica Ley 20.584</t>
  </si>
  <si>
    <t xml:space="preserve">/ley20584</t>
  </si>
  <si>
    <t xml:space="preserve">Respuesta directa + FAQ.</t>
  </si>
  <si>
    <t xml:space="preserve">cómo pedir ficha clínica Chile</t>
  </si>
  <si>
    <t xml:space="preserve">/blog/como-pedir-ficha-clinica-chile</t>
  </si>
  <si>
    <t xml:space="preserve">Tráfico paciente, no dueño: valor bajo.</t>
  </si>
  <si>
    <t xml:space="preserve">cómo reducir no-shows en clínica</t>
  </si>
  <si>
    <t xml:space="preserve">Dolor / cola larga</t>
  </si>
  <si>
    <t xml:space="preserve">/blog/como-reducir-no-shows-clinica-estetica</t>
  </si>
  <si>
    <t xml:space="preserve">pacientes que no confirman cita</t>
  </si>
  <si>
    <t xml:space="preserve">/blog/pacientes-no-confirman-cita-que-hacer</t>
  </si>
  <si>
    <t xml:space="preserve">recordatorios de citas por WhatsApp</t>
  </si>
  <si>
    <t xml:space="preserve">/recordatorios-citas-whatsapp</t>
  </si>
  <si>
    <t xml:space="preserve">Pilar que hoy no existe; enlazar los 2 posts.</t>
  </si>
  <si>
    <t xml:space="preserve">confirmación automática de citas</t>
  </si>
  <si>
    <t xml:space="preserve">pacientes que agendan fuera de horario</t>
  </si>
  <si>
    <t xml:space="preserve">/blog/paciente-agendar-fuera-horario-clinica</t>
  </si>
  <si>
    <t xml:space="preserve">cuánto cuesta perder un paciente</t>
  </si>
  <si>
    <t xml:space="preserve">/blog/cuanto-cuesta-perder-paciente-calculo-real</t>
  </si>
  <si>
    <t xml:space="preserve">IA para clínicas</t>
  </si>
  <si>
    <t xml:space="preserve">IA</t>
  </si>
  <si>
    <t xml:space="preserve">/empleado-digital</t>
  </si>
  <si>
    <t xml:space="preserve">Alto disparo de AI Overview.</t>
  </si>
  <si>
    <t xml:space="preserve">chatbot para clínicas</t>
  </si>
  <si>
    <t xml:space="preserve">/blog/chatbot-vs-agente-de-ia-no-son-lo-mismo</t>
  </si>
  <si>
    <t xml:space="preserve">Contrastar chatbot vs empleado digital.</t>
  </si>
  <si>
    <t xml:space="preserve">agente de IA para clínicas</t>
  </si>
  <si>
    <t xml:space="preserve">Término propio: empleado digital.</t>
  </si>
  <si>
    <t xml:space="preserve">secretaria virtual para clínica</t>
  </si>
  <si>
    <t xml:space="preserve">o variante en /empleado-digital</t>
  </si>
  <si>
    <t xml:space="preserve">Por validar</t>
  </si>
  <si>
    <t xml:space="preserve">Lenguaje del dueño; validar con GSC.</t>
  </si>
  <si>
    <t xml:space="preserve">asistente virtual WhatsApp clínica</t>
  </si>
  <si>
    <t xml:space="preserve">alternativas a AgendaPro</t>
  </si>
  <si>
    <t xml:space="preserve">Comparativas</t>
  </si>
  <si>
    <t xml:space="preserve">/comparativas</t>
  </si>
  <si>
    <t xml:space="preserve">Sin decir que se integra con terceros.</t>
  </si>
  <si>
    <t xml:space="preserve">alternativa a Dentalink</t>
  </si>
  <si>
    <t xml:space="preserve">alternativa a Medilink</t>
  </si>
  <si>
    <t xml:space="preserve">Clinera vs AgendaPro</t>
  </si>
  <si>
    <t xml:space="preserve">Primera mención de marca con link.</t>
  </si>
  <si>
    <t xml:space="preserve">CRM para clínicas</t>
  </si>
  <si>
    <t xml:space="preserve">CRM</t>
  </si>
  <si>
    <t xml:space="preserve">/crm-para-clinicas</t>
  </si>
  <si>
    <t xml:space="preserve">Hoy solo 1 post.</t>
  </si>
  <si>
    <t xml:space="preserve">CRM para clínicas estéticas</t>
  </si>
  <si>
    <t xml:space="preserve">software para kinesiólogos</t>
  </si>
  <si>
    <t xml:space="preserve">Especialidad</t>
  </si>
  <si>
    <t xml:space="preserve">/software-kinesiologia</t>
  </si>
  <si>
    <t xml:space="preserve">Esqueleto software-vertical. Validar volumen.</t>
  </si>
  <si>
    <t xml:space="preserve">software para psicólogos</t>
  </si>
  <si>
    <t xml:space="preserve">/software-psicologia</t>
  </si>
  <si>
    <t xml:space="preserve">Validar volumen.</t>
  </si>
  <si>
    <t xml:space="preserve">software para nutricionistas</t>
  </si>
  <si>
    <t xml:space="preserve">/software-nutricion</t>
  </si>
  <si>
    <t xml:space="preserve">software para podólogos</t>
  </si>
  <si>
    <t xml:space="preserve">/software-podologia</t>
  </si>
  <si>
    <t xml:space="preserve">software para clínicas México</t>
  </si>
  <si>
    <t xml:space="preserve">País</t>
  </si>
  <si>
    <t xml:space="preserve">/mejor-software-clinicas/mexico</t>
  </si>
  <si>
    <t xml:space="preserve">SERP duro (AgendaPro, Medesk).</t>
  </si>
  <si>
    <t xml:space="preserve">software para clínicas Colombia</t>
  </si>
  <si>
    <t xml:space="preserve">/mejor-software-clinicas/colombia</t>
  </si>
  <si>
    <t xml:space="preserve">software para clínicas Chile</t>
  </si>
  <si>
    <t xml:space="preserve">/mejor-software-clinicas/chile</t>
  </si>
  <si>
    <t xml:space="preserve">software para clínicas Perú</t>
  </si>
  <si>
    <t xml:space="preserve">/mejor-software-clinicas/peru</t>
  </si>
  <si>
    <t xml:space="preserve">Falta página; Perú está en mercados.</t>
  </si>
  <si>
    <t xml:space="preserve">clinera</t>
  </si>
  <si>
    <t xml:space="preserve">Marca</t>
  </si>
  <si>
    <t xml:space="preserve">N</t>
  </si>
  <si>
    <t xml:space="preserve">/</t>
  </si>
  <si>
    <t xml:space="preserve">Mantener presencia.</t>
  </si>
  <si>
    <t xml:space="preserve">clinera precios</t>
  </si>
  <si>
    <t xml:space="preserve">/planes</t>
  </si>
  <si>
    <t xml:space="preserve">Precios desde pricing.ts.</t>
  </si>
  <si>
    <t xml:space="preserve">Orden de trabajo</t>
  </si>
  <si>
    <t xml:space="preserve">1</t>
  </si>
  <si>
    <t xml:space="preserve">Sacar volumen real: Search Console (consultas 12 meses) o recargar API de Semrush. Llenar columnas amarillas.</t>
  </si>
  <si>
    <t xml:space="preserve">2</t>
  </si>
  <si>
    <t xml:space="preserve">Crear /software-para-clinicas (pilar: programa / sistema / software) con apertura de 40-60 palabras.</t>
  </si>
  <si>
    <t xml:space="preserve">3</t>
  </si>
  <si>
    <t xml:space="preserve">Crear /recordatorios-citas-whatsapp y enlazar los posts de no-shows y confirmación.</t>
  </si>
  <si>
    <t xml:space="preserve">4</t>
  </si>
  <si>
    <t xml:space="preserve">Crear 3-4 páginas por especialidad con el esqueleto software-vertical.</t>
  </si>
  <si>
    <t xml:space="preserve">5</t>
  </si>
  <si>
    <t xml:space="preserve">Crear /crm-para-clinicas y /mejor-software-clinicas/peru.</t>
  </si>
  <si>
    <t xml:space="preserve">Supuestos y reglas</t>
  </si>
  <si>
    <t xml:space="preserve">Valor de negocio</t>
  </si>
  <si>
    <t xml:space="preserve">Estimación de Claude (1-10), en azul. Ajustable.</t>
  </si>
  <si>
    <t xml:space="preserve">TIER 1 = victoria rápida; TIER 2 = apuesta estratégica; TIER 3 = apoyo temático. Asignada sin datos de volumen: revisar al llenarlos.</t>
  </si>
  <si>
    <t xml:space="preserve">Reglas del sitio</t>
  </si>
  <si>
    <t xml:space="preserve">No decir que Clinera se integra con agendas de terceros. No mencionar modos Eficiente/Agentic Pro. Primera mención de competidor con link a su sitio.</t>
  </si>
  <si>
    <t xml:space="preserve">Evidencia SERP</t>
  </si>
  <si>
    <t xml:space="preserve">'programa para clínicas' en Chile trae diplomados (PADE U. de Chile, Red Clínica). 'software para clínicas estéticas' en México lo dominan AgendaPro y Medesk (búsqueda, oct 2026).</t>
  </si>
  <si>
    <t xml:space="preserve">Fuente de URLs</t>
  </si>
  <si>
    <t xml:space="preserve">Inventario de src/app y src/content/posts del repo, 15-oct-2026.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</si>
</sst>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CC99"/>
      </patternFill>
    </fill>
    <fill>
      <patternFill patternType="solid">
        <fgColor rgb="FFE7E6E6"/>
        <bgColor rgb="FFC6EFCE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6" min="4" style="1" width="12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48"/>
    <col collapsed="false" customWidth="true" hidden="false" outlineLevel="0" max="10" min="10" style="1" width="11"/>
    <col collapsed="false" customWidth="true" hidden="false" outlineLevel="0" max="11" min="11" style="1" width="5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25" hidden="false" customHeight="true" outlineLevel="0" collapsed="false">
      <c r="A5" s="5" t="s">
        <v>13</v>
      </c>
      <c r="B5" s="5" t="s">
        <v>14</v>
      </c>
      <c r="C5" s="5" t="s">
        <v>15</v>
      </c>
      <c r="D5" s="6"/>
      <c r="E5" s="6"/>
      <c r="F5" s="7" t="n">
        <v>8</v>
      </c>
      <c r="G5" s="8" t="str">
        <f aca="false">IF(AND(ISNUMBER(D5),ISNUMBER(E5),E5&gt;0),F5*D5/E5,"")</f>
        <v/>
      </c>
      <c r="H5" s="9" t="s">
        <v>16</v>
      </c>
      <c r="I5" s="5" t="s">
        <v>17</v>
      </c>
      <c r="J5" s="10" t="s">
        <v>18</v>
      </c>
      <c r="K5" s="5" t="s">
        <v>19</v>
      </c>
    </row>
    <row r="6" customFormat="false" ht="15" hidden="false" customHeight="true" outlineLevel="0" collapsed="false">
      <c r="A6" s="5" t="s">
        <v>20</v>
      </c>
      <c r="B6" s="5" t="s">
        <v>14</v>
      </c>
      <c r="C6" s="5" t="s">
        <v>15</v>
      </c>
      <c r="D6" s="6"/>
      <c r="E6" s="6"/>
      <c r="F6" s="7" t="n">
        <v>9</v>
      </c>
      <c r="G6" s="8" t="str">
        <f aca="false">IF(AND(ISNUMBER(D6),ISNUMBER(E6),E6&gt;0),F6*D6/E6,"")</f>
        <v/>
      </c>
      <c r="H6" s="9" t="s">
        <v>16</v>
      </c>
      <c r="I6" s="5" t="s">
        <v>17</v>
      </c>
      <c r="J6" s="10" t="s">
        <v>18</v>
      </c>
      <c r="K6" s="5" t="s">
        <v>21</v>
      </c>
    </row>
    <row r="7" customFormat="false" ht="15" hidden="false" customHeight="true" outlineLevel="0" collapsed="false">
      <c r="A7" s="5" t="s">
        <v>22</v>
      </c>
      <c r="B7" s="5" t="s">
        <v>14</v>
      </c>
      <c r="C7" s="5" t="s">
        <v>15</v>
      </c>
      <c r="D7" s="6"/>
      <c r="E7" s="6"/>
      <c r="F7" s="7" t="n">
        <v>9</v>
      </c>
      <c r="G7" s="8" t="str">
        <f aca="false">IF(AND(ISNUMBER(D7),ISNUMBER(E7),E7&gt;0),F7*D7/E7,"")</f>
        <v/>
      </c>
      <c r="H7" s="9" t="s">
        <v>16</v>
      </c>
      <c r="I7" s="5" t="s">
        <v>17</v>
      </c>
      <c r="J7" s="10" t="s">
        <v>18</v>
      </c>
      <c r="K7" s="5" t="s">
        <v>23</v>
      </c>
    </row>
    <row r="8" customFormat="false" ht="15" hidden="false" customHeight="true" outlineLevel="0" collapsed="false">
      <c r="A8" s="5" t="s">
        <v>24</v>
      </c>
      <c r="B8" s="5" t="s">
        <v>14</v>
      </c>
      <c r="C8" s="5" t="s">
        <v>15</v>
      </c>
      <c r="D8" s="6"/>
      <c r="E8" s="6"/>
      <c r="F8" s="7" t="n">
        <v>8</v>
      </c>
      <c r="G8" s="8" t="str">
        <f aca="false">IF(AND(ISNUMBER(D8),ISNUMBER(E8),E8&gt;0),F8*D8/E8,"")</f>
        <v/>
      </c>
      <c r="H8" s="9" t="s">
        <v>16</v>
      </c>
      <c r="I8" s="5" t="s">
        <v>17</v>
      </c>
      <c r="J8" s="10" t="s">
        <v>18</v>
      </c>
      <c r="K8" s="5"/>
    </row>
    <row r="9" customFormat="false" ht="15" hidden="false" customHeight="true" outlineLevel="0" collapsed="false">
      <c r="A9" s="5" t="s">
        <v>25</v>
      </c>
      <c r="B9" s="5" t="s">
        <v>14</v>
      </c>
      <c r="C9" s="5" t="s">
        <v>15</v>
      </c>
      <c r="D9" s="6"/>
      <c r="E9" s="6"/>
      <c r="F9" s="7" t="n">
        <v>7</v>
      </c>
      <c r="G9" s="8" t="str">
        <f aca="false">IF(AND(ISNUMBER(D9),ISNUMBER(E9),E9&gt;0),F9*D9/E9,"")</f>
        <v/>
      </c>
      <c r="H9" s="11" t="s">
        <v>26</v>
      </c>
      <c r="I9" s="5" t="s">
        <v>27</v>
      </c>
      <c r="J9" s="5" t="s">
        <v>28</v>
      </c>
      <c r="K9" s="5" t="s">
        <v>29</v>
      </c>
    </row>
    <row r="10" customFormat="false" ht="15" hidden="false" customHeight="true" outlineLevel="0" collapsed="false">
      <c r="A10" s="5" t="s">
        <v>30</v>
      </c>
      <c r="B10" s="5" t="s">
        <v>14</v>
      </c>
      <c r="C10" s="5" t="s">
        <v>15</v>
      </c>
      <c r="D10" s="6"/>
      <c r="E10" s="6"/>
      <c r="F10" s="7" t="n">
        <v>9</v>
      </c>
      <c r="G10" s="8" t="str">
        <f aca="false">IF(AND(ISNUMBER(D10),ISNUMBER(E10),E10&gt;0),F10*D10/E10,"")</f>
        <v/>
      </c>
      <c r="H10" s="9" t="s">
        <v>16</v>
      </c>
      <c r="I10" s="5" t="s">
        <v>31</v>
      </c>
      <c r="J10" s="5" t="s">
        <v>28</v>
      </c>
      <c r="K10" s="5" t="s">
        <v>32</v>
      </c>
    </row>
    <row r="11" customFormat="false" ht="15" hidden="false" customHeight="true" outlineLevel="0" collapsed="false">
      <c r="A11" s="5" t="s">
        <v>33</v>
      </c>
      <c r="B11" s="5" t="s">
        <v>34</v>
      </c>
      <c r="C11" s="5" t="s">
        <v>35</v>
      </c>
      <c r="D11" s="6"/>
      <c r="E11" s="6"/>
      <c r="F11" s="7" t="n">
        <v>10</v>
      </c>
      <c r="G11" s="8" t="str">
        <f aca="false">IF(AND(ISNUMBER(D11),ISNUMBER(E11),E11&gt;0),F11*D11/E11,"")</f>
        <v/>
      </c>
      <c r="H11" s="12" t="s">
        <v>36</v>
      </c>
      <c r="I11" s="5" t="s">
        <v>37</v>
      </c>
      <c r="J11" s="5" t="s">
        <v>28</v>
      </c>
      <c r="K11" s="5" t="s">
        <v>38</v>
      </c>
    </row>
    <row r="12" customFormat="false" ht="15" hidden="false" customHeight="true" outlineLevel="0" collapsed="false">
      <c r="A12" s="5" t="s">
        <v>39</v>
      </c>
      <c r="B12" s="5" t="s">
        <v>34</v>
      </c>
      <c r="C12" s="5" t="s">
        <v>35</v>
      </c>
      <c r="D12" s="6"/>
      <c r="E12" s="6"/>
      <c r="F12" s="7" t="n">
        <v>9</v>
      </c>
      <c r="G12" s="8" t="str">
        <f aca="false">IF(AND(ISNUMBER(D12),ISNUMBER(E12),E12&gt;0),F12*D12/E12,"")</f>
        <v/>
      </c>
      <c r="H12" s="12" t="s">
        <v>36</v>
      </c>
      <c r="I12" s="5" t="s">
        <v>37</v>
      </c>
      <c r="J12" s="5" t="s">
        <v>28</v>
      </c>
      <c r="K12" s="5"/>
    </row>
    <row r="13" customFormat="false" ht="15" hidden="false" customHeight="true" outlineLevel="0" collapsed="false">
      <c r="A13" s="5" t="s">
        <v>40</v>
      </c>
      <c r="B13" s="5" t="s">
        <v>34</v>
      </c>
      <c r="C13" s="5" t="s">
        <v>35</v>
      </c>
      <c r="D13" s="6"/>
      <c r="E13" s="6"/>
      <c r="F13" s="7" t="n">
        <v>10</v>
      </c>
      <c r="G13" s="8" t="str">
        <f aca="false">IF(AND(ISNUMBER(D13),ISNUMBER(E13),E13&gt;0),F13*D13/E13,"")</f>
        <v/>
      </c>
      <c r="H13" s="12" t="s">
        <v>36</v>
      </c>
      <c r="I13" s="5" t="s">
        <v>37</v>
      </c>
      <c r="J13" s="5" t="s">
        <v>28</v>
      </c>
      <c r="K13" s="5" t="s">
        <v>41</v>
      </c>
    </row>
    <row r="14" customFormat="false" ht="15" hidden="false" customHeight="true" outlineLevel="0" collapsed="false">
      <c r="A14" s="5" t="s">
        <v>42</v>
      </c>
      <c r="B14" s="5" t="s">
        <v>34</v>
      </c>
      <c r="C14" s="5" t="s">
        <v>35</v>
      </c>
      <c r="D14" s="6"/>
      <c r="E14" s="6"/>
      <c r="F14" s="7" t="n">
        <v>8</v>
      </c>
      <c r="G14" s="8" t="str">
        <f aca="false">IF(AND(ISNUMBER(D14),ISNUMBER(E14),E14&gt;0),F14*D14/E14,"")</f>
        <v/>
      </c>
      <c r="H14" s="12" t="s">
        <v>36</v>
      </c>
      <c r="I14" s="5" t="s">
        <v>37</v>
      </c>
      <c r="J14" s="5" t="s">
        <v>28</v>
      </c>
      <c r="K14" s="5"/>
    </row>
    <row r="15" customFormat="false" ht="15" hidden="false" customHeight="true" outlineLevel="0" collapsed="false">
      <c r="A15" s="5" t="s">
        <v>43</v>
      </c>
      <c r="B15" s="5" t="s">
        <v>44</v>
      </c>
      <c r="C15" s="5" t="s">
        <v>35</v>
      </c>
      <c r="D15" s="6"/>
      <c r="E15" s="6"/>
      <c r="F15" s="7" t="n">
        <v>10</v>
      </c>
      <c r="G15" s="8" t="str">
        <f aca="false">IF(AND(ISNUMBER(D15),ISNUMBER(E15),E15&gt;0),F15*D15/E15,"")</f>
        <v/>
      </c>
      <c r="H15" s="12" t="s">
        <v>36</v>
      </c>
      <c r="I15" s="5" t="s">
        <v>45</v>
      </c>
      <c r="J15" s="5" t="s">
        <v>28</v>
      </c>
      <c r="K15" s="5" t="s">
        <v>46</v>
      </c>
    </row>
    <row r="16" customFormat="false" ht="15" hidden="false" customHeight="true" outlineLevel="0" collapsed="false">
      <c r="A16" s="5" t="s">
        <v>47</v>
      </c>
      <c r="B16" s="5" t="s">
        <v>44</v>
      </c>
      <c r="C16" s="5" t="s">
        <v>35</v>
      </c>
      <c r="D16" s="6"/>
      <c r="E16" s="6"/>
      <c r="F16" s="7" t="n">
        <v>8</v>
      </c>
      <c r="G16" s="8" t="str">
        <f aca="false">IF(AND(ISNUMBER(D16),ISNUMBER(E16),E16&gt;0),F16*D16/E16,"")</f>
        <v/>
      </c>
      <c r="H16" s="12" t="s">
        <v>36</v>
      </c>
      <c r="I16" s="5" t="s">
        <v>45</v>
      </c>
      <c r="J16" s="5" t="s">
        <v>28</v>
      </c>
      <c r="K16" s="5" t="s">
        <v>48</v>
      </c>
    </row>
    <row r="17" customFormat="false" ht="15" hidden="false" customHeight="true" outlineLevel="0" collapsed="false">
      <c r="A17" s="5" t="s">
        <v>49</v>
      </c>
      <c r="B17" s="5" t="s">
        <v>44</v>
      </c>
      <c r="C17" s="5" t="s">
        <v>35</v>
      </c>
      <c r="D17" s="6"/>
      <c r="E17" s="6"/>
      <c r="F17" s="7" t="n">
        <v>8</v>
      </c>
      <c r="G17" s="8" t="str">
        <f aca="false">IF(AND(ISNUMBER(D17),ISNUMBER(E17),E17&gt;0),F17*D17/E17,"")</f>
        <v/>
      </c>
      <c r="H17" s="11" t="s">
        <v>26</v>
      </c>
      <c r="I17" s="5" t="s">
        <v>45</v>
      </c>
      <c r="J17" s="5" t="s">
        <v>28</v>
      </c>
      <c r="K17" s="5"/>
    </row>
    <row r="18" customFormat="false" ht="15" hidden="false" customHeight="true" outlineLevel="0" collapsed="false">
      <c r="A18" s="5" t="s">
        <v>50</v>
      </c>
      <c r="B18" s="5" t="s">
        <v>44</v>
      </c>
      <c r="C18" s="5" t="s">
        <v>51</v>
      </c>
      <c r="D18" s="6"/>
      <c r="E18" s="6"/>
      <c r="F18" s="7" t="n">
        <v>7</v>
      </c>
      <c r="G18" s="8" t="str">
        <f aca="false">IF(AND(ISNUMBER(D18),ISNUMBER(E18),E18&gt;0),F18*D18/E18,"")</f>
        <v/>
      </c>
      <c r="H18" s="11" t="s">
        <v>26</v>
      </c>
      <c r="I18" s="5" t="s">
        <v>52</v>
      </c>
      <c r="J18" s="5" t="s">
        <v>28</v>
      </c>
      <c r="K18" s="5"/>
    </row>
    <row r="19" customFormat="false" ht="15" hidden="false" customHeight="true" outlineLevel="0" collapsed="false">
      <c r="A19" s="5" t="s">
        <v>53</v>
      </c>
      <c r="B19" s="5" t="s">
        <v>54</v>
      </c>
      <c r="C19" s="5" t="s">
        <v>15</v>
      </c>
      <c r="D19" s="6"/>
      <c r="E19" s="6"/>
      <c r="F19" s="7" t="n">
        <v>8</v>
      </c>
      <c r="G19" s="8" t="str">
        <f aca="false">IF(AND(ISNUMBER(D19),ISNUMBER(E19),E19&gt;0),F19*D19/E19,"")</f>
        <v/>
      </c>
      <c r="H19" s="9" t="s">
        <v>16</v>
      </c>
      <c r="I19" s="5" t="s">
        <v>27</v>
      </c>
      <c r="J19" s="5" t="s">
        <v>28</v>
      </c>
      <c r="K19" s="5"/>
    </row>
    <row r="20" customFormat="false" ht="15" hidden="false" customHeight="true" outlineLevel="0" collapsed="false">
      <c r="A20" s="5" t="s">
        <v>55</v>
      </c>
      <c r="B20" s="5" t="s">
        <v>54</v>
      </c>
      <c r="C20" s="5" t="s">
        <v>15</v>
      </c>
      <c r="D20" s="6"/>
      <c r="E20" s="6"/>
      <c r="F20" s="7" t="n">
        <v>7</v>
      </c>
      <c r="G20" s="8" t="str">
        <f aca="false">IF(AND(ISNUMBER(D20),ISNUMBER(E20),E20&gt;0),F20*D20/E20,"")</f>
        <v/>
      </c>
      <c r="H20" s="9" t="s">
        <v>16</v>
      </c>
      <c r="I20" s="5" t="s">
        <v>56</v>
      </c>
      <c r="J20" s="5" t="s">
        <v>28</v>
      </c>
      <c r="K20" s="5" t="s">
        <v>57</v>
      </c>
    </row>
    <row r="21" customFormat="false" ht="23.25" hidden="false" customHeight="true" outlineLevel="0" collapsed="false">
      <c r="A21" s="5" t="s">
        <v>58</v>
      </c>
      <c r="B21" s="5" t="s">
        <v>54</v>
      </c>
      <c r="C21" s="5" t="s">
        <v>51</v>
      </c>
      <c r="D21" s="6"/>
      <c r="E21" s="6"/>
      <c r="F21" s="7" t="n">
        <v>6</v>
      </c>
      <c r="G21" s="8" t="str">
        <f aca="false">IF(AND(ISNUMBER(D21),ISNUMBER(E21),E21&gt;0),F21*D21/E21,"")</f>
        <v/>
      </c>
      <c r="H21" s="11" t="s">
        <v>26</v>
      </c>
      <c r="I21" s="5" t="s">
        <v>59</v>
      </c>
      <c r="J21" s="5" t="s">
        <v>28</v>
      </c>
      <c r="K21" s="5" t="s">
        <v>60</v>
      </c>
    </row>
    <row r="22" customFormat="false" ht="15" hidden="false" customHeight="true" outlineLevel="0" collapsed="false">
      <c r="A22" s="5" t="s">
        <v>61</v>
      </c>
      <c r="B22" s="5" t="s">
        <v>62</v>
      </c>
      <c r="C22" s="5" t="s">
        <v>15</v>
      </c>
      <c r="D22" s="6"/>
      <c r="E22" s="6"/>
      <c r="F22" s="7" t="n">
        <v>8</v>
      </c>
      <c r="G22" s="8" t="str">
        <f aca="false">IF(AND(ISNUMBER(D22),ISNUMBER(E22),E22&gt;0),F22*D22/E22,"")</f>
        <v/>
      </c>
      <c r="H22" s="12" t="s">
        <v>36</v>
      </c>
      <c r="I22" s="5" t="s">
        <v>63</v>
      </c>
      <c r="J22" s="5" t="s">
        <v>28</v>
      </c>
      <c r="K22" s="5" t="s">
        <v>64</v>
      </c>
    </row>
    <row r="23" customFormat="false" ht="15" hidden="false" customHeight="true" outlineLevel="0" collapsed="false">
      <c r="A23" s="5" t="s">
        <v>65</v>
      </c>
      <c r="B23" s="5" t="s">
        <v>62</v>
      </c>
      <c r="C23" s="5" t="s">
        <v>15</v>
      </c>
      <c r="D23" s="6"/>
      <c r="E23" s="6"/>
      <c r="F23" s="7" t="n">
        <v>9</v>
      </c>
      <c r="G23" s="8" t="str">
        <f aca="false">IF(AND(ISNUMBER(D23),ISNUMBER(E23),E23&gt;0),F23*D23/E23,"")</f>
        <v/>
      </c>
      <c r="H23" s="12" t="s">
        <v>36</v>
      </c>
      <c r="I23" s="5" t="s">
        <v>66</v>
      </c>
      <c r="J23" s="5" t="s">
        <v>28</v>
      </c>
      <c r="K23" s="5"/>
    </row>
    <row r="24" customFormat="false" ht="15" hidden="false" customHeight="true" outlineLevel="0" collapsed="false">
      <c r="A24" s="5" t="s">
        <v>67</v>
      </c>
      <c r="B24" s="5" t="s">
        <v>62</v>
      </c>
      <c r="C24" s="5" t="s">
        <v>51</v>
      </c>
      <c r="D24" s="6"/>
      <c r="E24" s="6"/>
      <c r="F24" s="7" t="n">
        <v>6</v>
      </c>
      <c r="G24" s="8" t="str">
        <f aca="false">IF(AND(ISNUMBER(D24),ISNUMBER(E24),E24&gt;0),F24*D24/E24,"")</f>
        <v/>
      </c>
      <c r="H24" s="11" t="s">
        <v>26</v>
      </c>
      <c r="I24" s="5" t="s">
        <v>68</v>
      </c>
      <c r="J24" s="5" t="s">
        <v>28</v>
      </c>
      <c r="K24" s="5" t="s">
        <v>69</v>
      </c>
    </row>
    <row r="25" customFormat="false" ht="15" hidden="false" customHeight="true" outlineLevel="0" collapsed="false">
      <c r="A25" s="5" t="s">
        <v>70</v>
      </c>
      <c r="B25" s="5" t="s">
        <v>62</v>
      </c>
      <c r="C25" s="5" t="s">
        <v>51</v>
      </c>
      <c r="D25" s="6"/>
      <c r="E25" s="6"/>
      <c r="F25" s="7" t="n">
        <v>4</v>
      </c>
      <c r="G25" s="8" t="str">
        <f aca="false">IF(AND(ISNUMBER(D25),ISNUMBER(E25),E25&gt;0),F25*D25/E25,"")</f>
        <v/>
      </c>
      <c r="H25" s="11" t="s">
        <v>26</v>
      </c>
      <c r="I25" s="5" t="s">
        <v>71</v>
      </c>
      <c r="J25" s="5" t="s">
        <v>28</v>
      </c>
      <c r="K25" s="5" t="s">
        <v>72</v>
      </c>
    </row>
    <row r="26" customFormat="false" ht="15" hidden="false" customHeight="true" outlineLevel="0" collapsed="false">
      <c r="A26" s="5" t="s">
        <v>73</v>
      </c>
      <c r="B26" s="5" t="s">
        <v>74</v>
      </c>
      <c r="C26" s="5" t="s">
        <v>51</v>
      </c>
      <c r="D26" s="6"/>
      <c r="E26" s="6"/>
      <c r="F26" s="7" t="n">
        <v>8</v>
      </c>
      <c r="G26" s="8" t="str">
        <f aca="false">IF(AND(ISNUMBER(D26),ISNUMBER(E26),E26&gt;0),F26*D26/E26,"")</f>
        <v/>
      </c>
      <c r="H26" s="12" t="s">
        <v>36</v>
      </c>
      <c r="I26" s="5" t="s">
        <v>75</v>
      </c>
      <c r="J26" s="5" t="s">
        <v>28</v>
      </c>
      <c r="K26" s="5"/>
    </row>
    <row r="27" customFormat="false" ht="15" hidden="false" customHeight="true" outlineLevel="0" collapsed="false">
      <c r="A27" s="5" t="s">
        <v>76</v>
      </c>
      <c r="B27" s="5" t="s">
        <v>74</v>
      </c>
      <c r="C27" s="5" t="s">
        <v>51</v>
      </c>
      <c r="D27" s="6"/>
      <c r="E27" s="6"/>
      <c r="F27" s="7" t="n">
        <v>7</v>
      </c>
      <c r="G27" s="8" t="str">
        <f aca="false">IF(AND(ISNUMBER(D27),ISNUMBER(E27),E27&gt;0),F27*D27/E27,"")</f>
        <v/>
      </c>
      <c r="H27" s="12" t="s">
        <v>36</v>
      </c>
      <c r="I27" s="5" t="s">
        <v>77</v>
      </c>
      <c r="J27" s="5" t="s">
        <v>28</v>
      </c>
      <c r="K27" s="5"/>
    </row>
    <row r="28" customFormat="false" ht="15" hidden="false" customHeight="true" outlineLevel="0" collapsed="false">
      <c r="A28" s="5" t="s">
        <v>78</v>
      </c>
      <c r="B28" s="5" t="s">
        <v>74</v>
      </c>
      <c r="C28" s="5" t="s">
        <v>35</v>
      </c>
      <c r="D28" s="6"/>
      <c r="E28" s="6"/>
      <c r="F28" s="7" t="n">
        <v>9</v>
      </c>
      <c r="G28" s="8" t="str">
        <f aca="false">IF(AND(ISNUMBER(D28),ISNUMBER(E28),E28&gt;0),F28*D28/E28,"")</f>
        <v/>
      </c>
      <c r="H28" s="12" t="s">
        <v>36</v>
      </c>
      <c r="I28" s="5" t="s">
        <v>79</v>
      </c>
      <c r="J28" s="10" t="s">
        <v>18</v>
      </c>
      <c r="K28" s="5" t="s">
        <v>80</v>
      </c>
    </row>
    <row r="29" customFormat="false" ht="15" hidden="false" customHeight="true" outlineLevel="0" collapsed="false">
      <c r="A29" s="5" t="s">
        <v>81</v>
      </c>
      <c r="B29" s="5" t="s">
        <v>74</v>
      </c>
      <c r="C29" s="5" t="s">
        <v>35</v>
      </c>
      <c r="D29" s="6"/>
      <c r="E29" s="6"/>
      <c r="F29" s="7" t="n">
        <v>8</v>
      </c>
      <c r="G29" s="8" t="str">
        <f aca="false">IF(AND(ISNUMBER(D29),ISNUMBER(E29),E29&gt;0),F29*D29/E29,"")</f>
        <v/>
      </c>
      <c r="H29" s="12" t="s">
        <v>36</v>
      </c>
      <c r="I29" s="5" t="s">
        <v>79</v>
      </c>
      <c r="J29" s="10" t="s">
        <v>18</v>
      </c>
      <c r="K29" s="5"/>
    </row>
    <row r="30" customFormat="false" ht="15" hidden="false" customHeight="true" outlineLevel="0" collapsed="false">
      <c r="A30" s="5" t="s">
        <v>82</v>
      </c>
      <c r="B30" s="5" t="s">
        <v>74</v>
      </c>
      <c r="C30" s="5" t="s">
        <v>51</v>
      </c>
      <c r="D30" s="6"/>
      <c r="E30" s="6"/>
      <c r="F30" s="7" t="n">
        <v>6</v>
      </c>
      <c r="G30" s="8" t="str">
        <f aca="false">IF(AND(ISNUMBER(D30),ISNUMBER(E30),E30&gt;0),F30*D30/E30,"")</f>
        <v/>
      </c>
      <c r="H30" s="11" t="s">
        <v>26</v>
      </c>
      <c r="I30" s="5" t="s">
        <v>83</v>
      </c>
      <c r="J30" s="5" t="s">
        <v>28</v>
      </c>
      <c r="K30" s="5"/>
    </row>
    <row r="31" customFormat="false" ht="15" hidden="false" customHeight="true" outlineLevel="0" collapsed="false">
      <c r="A31" s="5" t="s">
        <v>84</v>
      </c>
      <c r="B31" s="5" t="s">
        <v>74</v>
      </c>
      <c r="C31" s="5" t="s">
        <v>51</v>
      </c>
      <c r="D31" s="6"/>
      <c r="E31" s="6"/>
      <c r="F31" s="7" t="n">
        <v>5</v>
      </c>
      <c r="G31" s="8" t="str">
        <f aca="false">IF(AND(ISNUMBER(D31),ISNUMBER(E31),E31&gt;0),F31*D31/E31,"")</f>
        <v/>
      </c>
      <c r="H31" s="11" t="s">
        <v>26</v>
      </c>
      <c r="I31" s="5" t="s">
        <v>85</v>
      </c>
      <c r="J31" s="5" t="s">
        <v>28</v>
      </c>
      <c r="K31" s="5"/>
    </row>
    <row r="32" customFormat="false" ht="15" hidden="false" customHeight="true" outlineLevel="0" collapsed="false">
      <c r="A32" s="5" t="s">
        <v>86</v>
      </c>
      <c r="B32" s="5" t="s">
        <v>87</v>
      </c>
      <c r="C32" s="5" t="s">
        <v>15</v>
      </c>
      <c r="D32" s="6"/>
      <c r="E32" s="6"/>
      <c r="F32" s="7" t="n">
        <v>9</v>
      </c>
      <c r="G32" s="8" t="str">
        <f aca="false">IF(AND(ISNUMBER(D32),ISNUMBER(E32),E32&gt;0),F32*D32/E32,"")</f>
        <v/>
      </c>
      <c r="H32" s="9" t="s">
        <v>16</v>
      </c>
      <c r="I32" s="5" t="s">
        <v>88</v>
      </c>
      <c r="J32" s="5" t="s">
        <v>28</v>
      </c>
      <c r="K32" s="5" t="s">
        <v>89</v>
      </c>
    </row>
    <row r="33" customFormat="false" ht="15" hidden="false" customHeight="true" outlineLevel="0" collapsed="false">
      <c r="A33" s="5" t="s">
        <v>90</v>
      </c>
      <c r="B33" s="5" t="s">
        <v>87</v>
      </c>
      <c r="C33" s="5" t="s">
        <v>15</v>
      </c>
      <c r="D33" s="6"/>
      <c r="E33" s="6"/>
      <c r="F33" s="7" t="n">
        <v>8</v>
      </c>
      <c r="G33" s="8" t="str">
        <f aca="false">IF(AND(ISNUMBER(D33),ISNUMBER(E33),E33&gt;0),F33*D33/E33,"")</f>
        <v/>
      </c>
      <c r="H33" s="9" t="s">
        <v>16</v>
      </c>
      <c r="I33" s="5" t="s">
        <v>91</v>
      </c>
      <c r="J33" s="5" t="s">
        <v>28</v>
      </c>
      <c r="K33" s="5" t="s">
        <v>92</v>
      </c>
    </row>
    <row r="34" customFormat="false" ht="15" hidden="false" customHeight="true" outlineLevel="0" collapsed="false">
      <c r="A34" s="5" t="s">
        <v>93</v>
      </c>
      <c r="B34" s="5" t="s">
        <v>87</v>
      </c>
      <c r="C34" s="5" t="s">
        <v>15</v>
      </c>
      <c r="D34" s="6"/>
      <c r="E34" s="6"/>
      <c r="F34" s="7" t="n">
        <v>9</v>
      </c>
      <c r="G34" s="8" t="str">
        <f aca="false">IF(AND(ISNUMBER(D34),ISNUMBER(E34),E34&gt;0),F34*D34/E34,"")</f>
        <v/>
      </c>
      <c r="H34" s="12" t="s">
        <v>36</v>
      </c>
      <c r="I34" s="5" t="s">
        <v>88</v>
      </c>
      <c r="J34" s="5" t="s">
        <v>28</v>
      </c>
      <c r="K34" s="5" t="s">
        <v>94</v>
      </c>
    </row>
    <row r="35" customFormat="false" ht="15" hidden="false" customHeight="true" outlineLevel="0" collapsed="false">
      <c r="A35" s="5" t="s">
        <v>95</v>
      </c>
      <c r="B35" s="5" t="s">
        <v>87</v>
      </c>
      <c r="C35" s="5" t="s">
        <v>35</v>
      </c>
      <c r="D35" s="6"/>
      <c r="E35" s="6"/>
      <c r="F35" s="7" t="n">
        <v>8</v>
      </c>
      <c r="G35" s="8" t="str">
        <f aca="false">IF(AND(ISNUMBER(D35),ISNUMBER(E35),E35&gt;0),F35*D35/E35,"")</f>
        <v/>
      </c>
      <c r="H35" s="12" t="s">
        <v>36</v>
      </c>
      <c r="I35" s="5" t="s">
        <v>96</v>
      </c>
      <c r="J35" s="5" t="s">
        <v>97</v>
      </c>
      <c r="K35" s="5" t="s">
        <v>98</v>
      </c>
    </row>
    <row r="36" customFormat="false" ht="15" hidden="false" customHeight="true" outlineLevel="0" collapsed="false">
      <c r="A36" s="5" t="s">
        <v>99</v>
      </c>
      <c r="B36" s="5" t="s">
        <v>87</v>
      </c>
      <c r="C36" s="5" t="s">
        <v>35</v>
      </c>
      <c r="D36" s="6"/>
      <c r="E36" s="6"/>
      <c r="F36" s="7" t="n">
        <v>8</v>
      </c>
      <c r="G36" s="8" t="str">
        <f aca="false">IF(AND(ISNUMBER(D36),ISNUMBER(E36),E36&gt;0),F36*D36/E36,"")</f>
        <v/>
      </c>
      <c r="H36" s="12" t="s">
        <v>36</v>
      </c>
      <c r="I36" s="5" t="s">
        <v>37</v>
      </c>
      <c r="J36" s="5" t="s">
        <v>28</v>
      </c>
      <c r="K36" s="5"/>
    </row>
    <row r="37" customFormat="false" ht="15" hidden="false" customHeight="true" outlineLevel="0" collapsed="false">
      <c r="A37" s="5" t="s">
        <v>100</v>
      </c>
      <c r="B37" s="5" t="s">
        <v>101</v>
      </c>
      <c r="C37" s="5" t="s">
        <v>15</v>
      </c>
      <c r="D37" s="6"/>
      <c r="E37" s="6"/>
      <c r="F37" s="7" t="n">
        <v>9</v>
      </c>
      <c r="G37" s="8" t="str">
        <f aca="false">IF(AND(ISNUMBER(D37),ISNUMBER(E37),E37&gt;0),F37*D37/E37,"")</f>
        <v/>
      </c>
      <c r="H37" s="12" t="s">
        <v>36</v>
      </c>
      <c r="I37" s="5" t="s">
        <v>102</v>
      </c>
      <c r="J37" s="5" t="s">
        <v>28</v>
      </c>
      <c r="K37" s="5" t="s">
        <v>103</v>
      </c>
    </row>
    <row r="38" customFormat="false" ht="15" hidden="false" customHeight="true" outlineLevel="0" collapsed="false">
      <c r="A38" s="5" t="s">
        <v>104</v>
      </c>
      <c r="B38" s="5" t="s">
        <v>101</v>
      </c>
      <c r="C38" s="5" t="s">
        <v>15</v>
      </c>
      <c r="D38" s="6"/>
      <c r="E38" s="6"/>
      <c r="F38" s="7" t="n">
        <v>8</v>
      </c>
      <c r="G38" s="8" t="str">
        <f aca="false">IF(AND(ISNUMBER(D38),ISNUMBER(E38),E38&gt;0),F38*D38/E38,"")</f>
        <v/>
      </c>
      <c r="H38" s="12" t="s">
        <v>36</v>
      </c>
      <c r="I38" s="5" t="s">
        <v>102</v>
      </c>
      <c r="J38" s="5" t="s">
        <v>28</v>
      </c>
      <c r="K38" s="5"/>
    </row>
    <row r="39" customFormat="false" ht="15" hidden="false" customHeight="true" outlineLevel="0" collapsed="false">
      <c r="A39" s="5" t="s">
        <v>105</v>
      </c>
      <c r="B39" s="5" t="s">
        <v>101</v>
      </c>
      <c r="C39" s="5" t="s">
        <v>15</v>
      </c>
      <c r="D39" s="6"/>
      <c r="E39" s="6"/>
      <c r="F39" s="7" t="n">
        <v>8</v>
      </c>
      <c r="G39" s="8" t="str">
        <f aca="false">IF(AND(ISNUMBER(D39),ISNUMBER(E39),E39&gt;0),F39*D39/E39,"")</f>
        <v/>
      </c>
      <c r="H39" s="12" t="s">
        <v>36</v>
      </c>
      <c r="I39" s="5" t="s">
        <v>102</v>
      </c>
      <c r="J39" s="5" t="s">
        <v>28</v>
      </c>
      <c r="K39" s="5"/>
    </row>
    <row r="40" customFormat="false" ht="15" hidden="false" customHeight="true" outlineLevel="0" collapsed="false">
      <c r="A40" s="5" t="s">
        <v>106</v>
      </c>
      <c r="B40" s="5" t="s">
        <v>101</v>
      </c>
      <c r="C40" s="5" t="s">
        <v>15</v>
      </c>
      <c r="D40" s="6"/>
      <c r="E40" s="6"/>
      <c r="F40" s="7" t="n">
        <v>8</v>
      </c>
      <c r="G40" s="8" t="str">
        <f aca="false">IF(AND(ISNUMBER(D40),ISNUMBER(E40),E40&gt;0),F40*D40/E40,"")</f>
        <v/>
      </c>
      <c r="H40" s="12" t="s">
        <v>36</v>
      </c>
      <c r="I40" s="5" t="s">
        <v>102</v>
      </c>
      <c r="J40" s="5" t="s">
        <v>28</v>
      </c>
      <c r="K40" s="5" t="s">
        <v>107</v>
      </c>
    </row>
    <row r="41" customFormat="false" ht="15" hidden="false" customHeight="true" outlineLevel="0" collapsed="false">
      <c r="A41" s="5" t="s">
        <v>108</v>
      </c>
      <c r="B41" s="5" t="s">
        <v>109</v>
      </c>
      <c r="C41" s="5" t="s">
        <v>15</v>
      </c>
      <c r="D41" s="6"/>
      <c r="E41" s="6"/>
      <c r="F41" s="7" t="n">
        <v>8</v>
      </c>
      <c r="G41" s="8" t="str">
        <f aca="false">IF(AND(ISNUMBER(D41),ISNUMBER(E41),E41&gt;0),F41*D41/E41,"")</f>
        <v/>
      </c>
      <c r="H41" s="9" t="s">
        <v>16</v>
      </c>
      <c r="I41" s="5" t="s">
        <v>110</v>
      </c>
      <c r="J41" s="10" t="s">
        <v>18</v>
      </c>
      <c r="K41" s="5" t="s">
        <v>111</v>
      </c>
    </row>
    <row r="42" customFormat="false" ht="15" hidden="false" customHeight="true" outlineLevel="0" collapsed="false">
      <c r="A42" s="5" t="s">
        <v>112</v>
      </c>
      <c r="B42" s="5" t="s">
        <v>109</v>
      </c>
      <c r="C42" s="5" t="s">
        <v>15</v>
      </c>
      <c r="D42" s="6"/>
      <c r="E42" s="6"/>
      <c r="F42" s="7" t="n">
        <v>8</v>
      </c>
      <c r="G42" s="8" t="str">
        <f aca="false">IF(AND(ISNUMBER(D42),ISNUMBER(E42),E42&gt;0),F42*D42/E42,"")</f>
        <v/>
      </c>
      <c r="H42" s="9" t="s">
        <v>16</v>
      </c>
      <c r="I42" s="5" t="s">
        <v>110</v>
      </c>
      <c r="J42" s="10" t="s">
        <v>18</v>
      </c>
      <c r="K42" s="5"/>
    </row>
    <row r="43" customFormat="false" ht="15" hidden="false" customHeight="true" outlineLevel="0" collapsed="false">
      <c r="A43" s="5" t="s">
        <v>113</v>
      </c>
      <c r="B43" s="5" t="s">
        <v>114</v>
      </c>
      <c r="C43" s="5" t="s">
        <v>35</v>
      </c>
      <c r="D43" s="6"/>
      <c r="E43" s="6"/>
      <c r="F43" s="7" t="n">
        <v>6</v>
      </c>
      <c r="G43" s="8" t="str">
        <f aca="false">IF(AND(ISNUMBER(D43),ISNUMBER(E43),E43&gt;0),F43*D43/E43,"")</f>
        <v/>
      </c>
      <c r="H43" s="12" t="s">
        <v>36</v>
      </c>
      <c r="I43" s="5" t="s">
        <v>115</v>
      </c>
      <c r="J43" s="10" t="s">
        <v>18</v>
      </c>
      <c r="K43" s="5" t="s">
        <v>116</v>
      </c>
    </row>
    <row r="44" customFormat="false" ht="15" hidden="false" customHeight="true" outlineLevel="0" collapsed="false">
      <c r="A44" s="5" t="s">
        <v>117</v>
      </c>
      <c r="B44" s="5" t="s">
        <v>114</v>
      </c>
      <c r="C44" s="5" t="s">
        <v>35</v>
      </c>
      <c r="D44" s="6"/>
      <c r="E44" s="6"/>
      <c r="F44" s="7" t="n">
        <v>6</v>
      </c>
      <c r="G44" s="8" t="str">
        <f aca="false">IF(AND(ISNUMBER(D44),ISNUMBER(E44),E44&gt;0),F44*D44/E44,"")</f>
        <v/>
      </c>
      <c r="H44" s="12" t="s">
        <v>36</v>
      </c>
      <c r="I44" s="5" t="s">
        <v>118</v>
      </c>
      <c r="J44" s="10" t="s">
        <v>18</v>
      </c>
      <c r="K44" s="5" t="s">
        <v>119</v>
      </c>
    </row>
    <row r="45" customFormat="false" ht="15" hidden="false" customHeight="true" outlineLevel="0" collapsed="false">
      <c r="A45" s="5" t="s">
        <v>120</v>
      </c>
      <c r="B45" s="5" t="s">
        <v>114</v>
      </c>
      <c r="C45" s="5" t="s">
        <v>35</v>
      </c>
      <c r="D45" s="6"/>
      <c r="E45" s="6"/>
      <c r="F45" s="7" t="n">
        <v>6</v>
      </c>
      <c r="G45" s="8" t="str">
        <f aca="false">IF(AND(ISNUMBER(D45),ISNUMBER(E45),E45&gt;0),F45*D45/E45,"")</f>
        <v/>
      </c>
      <c r="H45" s="12" t="s">
        <v>36</v>
      </c>
      <c r="I45" s="5" t="s">
        <v>121</v>
      </c>
      <c r="J45" s="10" t="s">
        <v>18</v>
      </c>
      <c r="K45" s="5" t="s">
        <v>119</v>
      </c>
    </row>
    <row r="46" customFormat="false" ht="15" hidden="false" customHeight="true" outlineLevel="0" collapsed="false">
      <c r="A46" s="5" t="s">
        <v>122</v>
      </c>
      <c r="B46" s="5" t="s">
        <v>114</v>
      </c>
      <c r="C46" s="5" t="s">
        <v>35</v>
      </c>
      <c r="D46" s="6"/>
      <c r="E46" s="6"/>
      <c r="F46" s="7" t="n">
        <v>5</v>
      </c>
      <c r="G46" s="8" t="str">
        <f aca="false">IF(AND(ISNUMBER(D46),ISNUMBER(E46),E46&gt;0),F46*D46/E46,"")</f>
        <v/>
      </c>
      <c r="H46" s="11" t="s">
        <v>26</v>
      </c>
      <c r="I46" s="5" t="s">
        <v>123</v>
      </c>
      <c r="J46" s="10" t="s">
        <v>18</v>
      </c>
      <c r="K46" s="5" t="s">
        <v>119</v>
      </c>
    </row>
    <row r="47" customFormat="false" ht="15" hidden="false" customHeight="true" outlineLevel="0" collapsed="false">
      <c r="A47" s="5" t="s">
        <v>124</v>
      </c>
      <c r="B47" s="5" t="s">
        <v>125</v>
      </c>
      <c r="C47" s="5" t="s">
        <v>15</v>
      </c>
      <c r="D47" s="6"/>
      <c r="E47" s="6"/>
      <c r="F47" s="7" t="n">
        <v>9</v>
      </c>
      <c r="G47" s="8" t="str">
        <f aca="false">IF(AND(ISNUMBER(D47),ISNUMBER(E47),E47&gt;0),F47*D47/E47,"")</f>
        <v/>
      </c>
      <c r="H47" s="9" t="s">
        <v>16</v>
      </c>
      <c r="I47" s="5" t="s">
        <v>126</v>
      </c>
      <c r="J47" s="5" t="s">
        <v>28</v>
      </c>
      <c r="K47" s="5" t="s">
        <v>127</v>
      </c>
    </row>
    <row r="48" customFormat="false" ht="15" hidden="false" customHeight="true" outlineLevel="0" collapsed="false">
      <c r="A48" s="5" t="s">
        <v>128</v>
      </c>
      <c r="B48" s="5" t="s">
        <v>125</v>
      </c>
      <c r="C48" s="5" t="s">
        <v>15</v>
      </c>
      <c r="D48" s="6"/>
      <c r="E48" s="6"/>
      <c r="F48" s="7" t="n">
        <v>7</v>
      </c>
      <c r="G48" s="8" t="str">
        <f aca="false">IF(AND(ISNUMBER(D48),ISNUMBER(E48),E48&gt;0),F48*D48/E48,"")</f>
        <v/>
      </c>
      <c r="H48" s="9" t="s">
        <v>16</v>
      </c>
      <c r="I48" s="5" t="s">
        <v>129</v>
      </c>
      <c r="J48" s="5" t="s">
        <v>28</v>
      </c>
      <c r="K48" s="5"/>
    </row>
    <row r="49" customFormat="false" ht="15" hidden="false" customHeight="true" outlineLevel="0" collapsed="false">
      <c r="A49" s="5" t="s">
        <v>130</v>
      </c>
      <c r="B49" s="5" t="s">
        <v>125</v>
      </c>
      <c r="C49" s="5" t="s">
        <v>15</v>
      </c>
      <c r="D49" s="6"/>
      <c r="E49" s="6"/>
      <c r="F49" s="7" t="n">
        <v>9</v>
      </c>
      <c r="G49" s="8" t="str">
        <f aca="false">IF(AND(ISNUMBER(D49),ISNUMBER(E49),E49&gt;0),F49*D49/E49,"")</f>
        <v/>
      </c>
      <c r="H49" s="9" t="s">
        <v>16</v>
      </c>
      <c r="I49" s="5" t="s">
        <v>131</v>
      </c>
      <c r="J49" s="5" t="s">
        <v>28</v>
      </c>
      <c r="K49" s="5"/>
    </row>
    <row r="50" customFormat="false" ht="15" hidden="false" customHeight="true" outlineLevel="0" collapsed="false">
      <c r="A50" s="5" t="s">
        <v>132</v>
      </c>
      <c r="B50" s="5" t="s">
        <v>125</v>
      </c>
      <c r="C50" s="5" t="s">
        <v>15</v>
      </c>
      <c r="D50" s="6"/>
      <c r="E50" s="6"/>
      <c r="F50" s="7" t="n">
        <v>7</v>
      </c>
      <c r="G50" s="8" t="str">
        <f aca="false">IF(AND(ISNUMBER(D50),ISNUMBER(E50),E50&gt;0),F50*D50/E50,"")</f>
        <v/>
      </c>
      <c r="H50" s="9" t="s">
        <v>16</v>
      </c>
      <c r="I50" s="5" t="s">
        <v>133</v>
      </c>
      <c r="J50" s="10" t="s">
        <v>18</v>
      </c>
      <c r="K50" s="5" t="s">
        <v>134</v>
      </c>
    </row>
    <row r="51" customFormat="false" ht="15" hidden="false" customHeight="true" outlineLevel="0" collapsed="false">
      <c r="A51" s="5" t="s">
        <v>135</v>
      </c>
      <c r="B51" s="5" t="s">
        <v>136</v>
      </c>
      <c r="C51" s="5" t="s">
        <v>137</v>
      </c>
      <c r="D51" s="6"/>
      <c r="E51" s="6"/>
      <c r="F51" s="7" t="n">
        <v>6</v>
      </c>
      <c r="G51" s="8" t="str">
        <f aca="false">IF(AND(ISNUMBER(D51),ISNUMBER(E51),E51&gt;0),F51*D51/E51,"")</f>
        <v/>
      </c>
      <c r="H51" s="11" t="s">
        <v>26</v>
      </c>
      <c r="I51" s="5" t="s">
        <v>138</v>
      </c>
      <c r="J51" s="5" t="s">
        <v>28</v>
      </c>
      <c r="K51" s="5" t="s">
        <v>139</v>
      </c>
    </row>
    <row r="52" customFormat="false" ht="15" hidden="false" customHeight="true" outlineLevel="0" collapsed="false">
      <c r="A52" s="5" t="s">
        <v>140</v>
      </c>
      <c r="B52" s="5" t="s">
        <v>136</v>
      </c>
      <c r="C52" s="5" t="s">
        <v>137</v>
      </c>
      <c r="D52" s="6"/>
      <c r="E52" s="6"/>
      <c r="F52" s="7" t="n">
        <v>7</v>
      </c>
      <c r="G52" s="8" t="str">
        <f aca="false">IF(AND(ISNUMBER(D52),ISNUMBER(E52),E52&gt;0),F52*D52/E52,"")</f>
        <v/>
      </c>
      <c r="H52" s="11" t="s">
        <v>26</v>
      </c>
      <c r="I52" s="5" t="s">
        <v>141</v>
      </c>
      <c r="J52" s="5" t="s">
        <v>28</v>
      </c>
      <c r="K52" s="5" t="s">
        <v>142</v>
      </c>
    </row>
  </sheetData>
  <autoFilter ref="A4:K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3" t="s">
        <v>143</v>
      </c>
      <c r="B1" s="14"/>
    </row>
    <row r="2" customFormat="false" ht="15" hidden="false" customHeight="true" outlineLevel="0" collapsed="false">
      <c r="A2" s="15" t="s">
        <v>144</v>
      </c>
      <c r="B2" s="14" t="s">
        <v>145</v>
      </c>
    </row>
    <row r="3" customFormat="false" ht="15" hidden="false" customHeight="true" outlineLevel="0" collapsed="false">
      <c r="A3" s="15" t="s">
        <v>146</v>
      </c>
      <c r="B3" s="14" t="s">
        <v>147</v>
      </c>
    </row>
    <row r="4" customFormat="false" ht="15" hidden="false" customHeight="true" outlineLevel="0" collapsed="false">
      <c r="A4" s="15" t="s">
        <v>148</v>
      </c>
      <c r="B4" s="14" t="s">
        <v>149</v>
      </c>
    </row>
    <row r="5" customFormat="false" ht="15" hidden="false" customHeight="true" outlineLevel="0" collapsed="false">
      <c r="A5" s="15" t="s">
        <v>150</v>
      </c>
      <c r="B5" s="14" t="s">
        <v>151</v>
      </c>
    </row>
    <row r="6" customFormat="false" ht="15" hidden="false" customHeight="true" outlineLevel="0" collapsed="false">
      <c r="A6" s="15" t="s">
        <v>152</v>
      </c>
      <c r="B6" s="14" t="s">
        <v>153</v>
      </c>
    </row>
    <row r="7" customFormat="false" ht="15" hidden="false" customHeight="true" outlineLevel="0" collapsed="false">
      <c r="A7" s="15"/>
      <c r="B7" s="14"/>
    </row>
    <row r="8" customFormat="false" ht="15" hidden="false" customHeight="true" outlineLevel="0" collapsed="false">
      <c r="A8" s="13" t="s">
        <v>154</v>
      </c>
      <c r="B8" s="14"/>
    </row>
    <row r="9" customFormat="false" ht="15" hidden="false" customHeight="true" outlineLevel="0" collapsed="false">
      <c r="A9" s="15" t="s">
        <v>155</v>
      </c>
      <c r="B9" s="14" t="s">
        <v>156</v>
      </c>
    </row>
    <row r="10" customFormat="false" ht="15" hidden="false" customHeight="true" outlineLevel="0" collapsed="false">
      <c r="A10" s="15" t="s">
        <v>9</v>
      </c>
      <c r="B10" s="14" t="s">
        <v>157</v>
      </c>
    </row>
    <row r="11" customFormat="false" ht="23.25" hidden="false" customHeight="true" outlineLevel="0" collapsed="false">
      <c r="A11" s="15" t="s">
        <v>158</v>
      </c>
      <c r="B11" s="14" t="s">
        <v>159</v>
      </c>
    </row>
    <row r="12" customFormat="false" ht="23.25" hidden="false" customHeight="true" outlineLevel="0" collapsed="false">
      <c r="A12" s="15" t="s">
        <v>160</v>
      </c>
      <c r="B12" s="14" t="s">
        <v>161</v>
      </c>
    </row>
    <row r="13" customFormat="false" ht="15" hidden="false" customHeight="true" outlineLevel="0" collapsed="false">
      <c r="A13" s="15" t="s">
        <v>162</v>
      </c>
      <c r="B13" s="1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2026-10-15T22:15:46Z</dcterms:created>
  <dc:creator>openpyxl</dc:creator>
  <dc:description/>
  <dc:language>en-US</dc:language>
  <cp:lastModifiedBy/>
  <dcterms:modified xsi:type="dcterms:W3CDTF">2026-10-16T01:30:48Z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